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al Summary" sheetId="1" state="visible" r:id="rId3"/>
    <sheet name="Monthly Averages" sheetId="2" state="visible" r:id="rId4"/>
    <sheet name="Anomaly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<sst xmlns="http://schemas.openxmlformats.org/spreadsheetml/2006/main" count="77" uniqueCount="73">
  <si>
    <t xml:space="preserve">Pokhara Seasonal Weather Summary – Long-term Averages (2010–2024)</t>
  </si>
  <si>
    <t xml:space="preserve">Season</t>
  </si>
  <si>
    <t xml:space="preserve">Months</t>
  </si>
  <si>
    <t xml:space="preserve">Avg Temp (°C)</t>
  </si>
  <si>
    <t xml:space="preserve">Max Temp (°C)</t>
  </si>
  <si>
    <t xml:space="preserve">Min Temp (°C)</t>
  </si>
  <si>
    <t xml:space="preserve">Avg Monthly Precip (mm)</t>
  </si>
  <si>
    <t xml:space="preserve">Avg Humidity (%)</t>
  </si>
  <si>
    <t xml:space="preserve">Avg Wind (m/s)</t>
  </si>
  <si>
    <t xml:space="preserve">Cloud Cover (%)</t>
  </si>
  <si>
    <t xml:space="preserve">Rainy Days/Month</t>
  </si>
  <si>
    <t xml:space="preserve">Tourism Level</t>
  </si>
  <si>
    <t xml:space="preserve">Key Weather Features</t>
  </si>
  <si>
    <t xml:space="preserve">Winter</t>
  </si>
  <si>
    <t xml:space="preserve">Dec–Feb</t>
  </si>
  <si>
    <t xml:space="preserve">High</t>
  </si>
  <si>
    <t xml:space="preserve">Clear skies, cold nights, Himalaya views at best</t>
  </si>
  <si>
    <t xml:space="preserve">Pre-Monsoon</t>
  </si>
  <si>
    <t xml:space="preserve">Mar–May</t>
  </si>
  <si>
    <t xml:space="preserve">Moderate</t>
  </si>
  <si>
    <t xml:space="preserve">Warming temps, occasional storms, flowers bloom</t>
  </si>
  <si>
    <t xml:space="preserve">Monsoon</t>
  </si>
  <si>
    <t xml:space="preserve">Jun–Sep</t>
  </si>
  <si>
    <t xml:space="preserve">Low</t>
  </si>
  <si>
    <t xml:space="preserve">Heavy rain, lush scenery, frequent flooding risk</t>
  </si>
  <si>
    <t xml:space="preserve">Post-Monsoon</t>
  </si>
  <si>
    <t xml:space="preserve">Oct–Nov</t>
  </si>
  <si>
    <t xml:space="preserve">Very High</t>
  </si>
  <si>
    <t xml:space="preserve">Crystal clear air, best mountain views, mild temps</t>
  </si>
  <si>
    <t xml:space="preserve">Pokhara Monthly Weather Averages – 15-Year Climatological Normals (2010–2024)</t>
  </si>
  <si>
    <t xml:space="preserve">Month</t>
  </si>
  <si>
    <t xml:space="preserve">Total Precip (mm)</t>
  </si>
  <si>
    <t xml:space="preserve">Humidity (%)</t>
  </si>
  <si>
    <t xml:space="preserve">Wind Speed (m/s)</t>
  </si>
  <si>
    <t xml:space="preserve">Rainy Days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</si>
  <si>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</si>
  <si>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</si>
  <si>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</si>
  <si>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</si>
  <si>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</si>
  <si>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</si>
  <si>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</si>
  <si>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</si>
  <si>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</si>
  <si>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</si>
  <si>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</si>
  <si>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</si>
  <si>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Annual Weather Anomalies vs. 15-Year Baseline – Pokhara</t>
  </si>
  <si>
    <t xml:space="preserve">Year</t>
  </si>
  <si>
    <t xml:space="preserve">Annual Avg Temp (°C)</t>
  </si>
  <si>
    <t xml:space="preserve">Temp Anomaly (°C)</t>
  </si>
  <si>
    <t xml:space="preserve">Annual Precip (mm)</t>
  </si>
  <si>
    <t xml:space="preserve">Precip Anomaly (mm)</t>
  </si>
  <si>
    <t xml:space="preserve">Monsoon Precip (mm)</t>
  </si>
  <si>
    <t xml:space="preserve">Monsoon Anomaly (mm)</t>
  </si>
  <si>
    <t xml:space="preserve">Extreme Heat Days (&gt;32°C)</t>
  </si>
  <si>
    <t xml:space="preserve">Notable Events</t>
  </si>
  <si>
    <t xml:space="preserve">Near-normal monsoon onset</t>
  </si>
  <si>
    <t xml:space="preserve">Above-average monsoon; June flooding</t>
  </si>
  <si>
    <t xml:space="preserve">Early pre-monsoon heat spike in May</t>
  </si>
  <si>
    <t xml:space="preserve">Below-average rainfall; mild drought signals</t>
  </si>
  <si>
    <t xml:space="preserve">Highest annual precip in decade; Oct flooding</t>
  </si>
  <si>
    <t xml:space="preserve">Earthquake year; weather near-normal</t>
  </si>
  <si>
    <t xml:space="preserve">Slightly above normal in all seasons</t>
  </si>
  <si>
    <t xml:space="preserve">Delayed monsoon onset (~June 20)</t>
  </si>
  <si>
    <t xml:space="preserve">Strong monsoon; landslide risk elevated</t>
  </si>
  <si>
    <t xml:space="preserve">Near-baseline year; stable conditions</t>
  </si>
  <si>
    <t xml:space="preserve">COVID travel restrictions; weather normal</t>
  </si>
  <si>
    <t xml:space="preserve">Slightly above normal temperatures</t>
  </si>
  <si>
    <t xml:space="preserve">Drier than average; below-normal monsoon</t>
  </si>
  <si>
    <t xml:space="preserve">Warmest year on record; wettest monsoon</t>
  </si>
  <si>
    <t xml:space="preserve">Near-normal; slight warming trend continues</t>
  </si>
  <si>
    <t xml:space="preserve">AVERAGE (2010–2024)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</si>
</sst>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EFF"/>
        <bgColor rgb="FFEDE7F6"/>
      </patternFill>
    </fill>
    <fill>
      <patternFill patternType="solid">
        <fgColor rgb="FFE8F5E9"/>
        <bgColor rgb="FFDDEEFF"/>
      </patternFill>
    </fill>
    <fill>
      <patternFill patternType="solid">
        <fgColor rgb="FFFFF3E0"/>
        <bgColor rgb="FFE8F5E9"/>
      </patternFill>
    </fill>
    <fill>
      <patternFill patternType="solid">
        <fgColor rgb="FFEDE7F6"/>
        <bgColor rgb="FFDDEEFF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DE7F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1" min="10" style="0" width="20"/>
    <col collapsed="false" customWidth="true" hidden="false" outlineLevel="0" max="12" min="12" style="0" width="17"/>
    <col collapsed="false" customWidth="true" hidden="false" outlineLevel="0" max="13" min="13" style="0" width="52"/>
  </cols>
  <sheetData>
    <row r="2" customFormat="false" ht="17.35" hidden="false" customHeight="false" outlineLevel="0" collapsed="false">
      <c r="B2" s="1" t="s">
        <v>0</v>
      </c>
    </row>
    <row r="4" customFormat="false" ht="30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customFormat="false" ht="15" hidden="false" customHeight="false" outlineLevel="0" collapsed="false">
      <c r="B5" s="3" t="s">
        <v>13</v>
      </c>
      <c r="C5" s="4" t="s">
        <v>14</v>
      </c>
      <c r="D5" s="4" t="n">
        <v>11</v>
      </c>
      <c r="E5" s="4" t="n">
        <v>19.1</v>
      </c>
      <c r="F5" s="4" t="n">
        <v>4.4</v>
      </c>
      <c r="G5" s="4" t="n">
        <v>16.8</v>
      </c>
      <c r="H5" s="4" t="n">
        <v>61</v>
      </c>
      <c r="I5" s="4" t="n">
        <v>1.3</v>
      </c>
      <c r="J5" s="4" t="n">
        <v>29</v>
      </c>
      <c r="K5" s="4" t="n">
        <v>3</v>
      </c>
      <c r="L5" s="4" t="s">
        <v>15</v>
      </c>
      <c r="M5" s="5" t="s">
        <v>16</v>
      </c>
    </row>
    <row r="6" customFormat="false" ht="15" hidden="false" customHeight="false" outlineLevel="0" collapsed="false">
      <c r="B6" s="6" t="s">
        <v>17</v>
      </c>
      <c r="C6" s="7" t="s">
        <v>18</v>
      </c>
      <c r="D6" s="7" t="n">
        <v>20</v>
      </c>
      <c r="E6" s="7" t="n">
        <v>28.5</v>
      </c>
      <c r="F6" s="7" t="n">
        <v>13.1</v>
      </c>
      <c r="G6" s="7" t="n">
        <v>103.7</v>
      </c>
      <c r="H6" s="7" t="n">
        <v>67</v>
      </c>
      <c r="I6" s="7" t="n">
        <v>2.1</v>
      </c>
      <c r="J6" s="7" t="n">
        <v>56</v>
      </c>
      <c r="K6" s="7" t="n">
        <v>9</v>
      </c>
      <c r="L6" s="7" t="s">
        <v>19</v>
      </c>
      <c r="M6" s="8" t="s">
        <v>20</v>
      </c>
    </row>
    <row r="7" customFormat="false" ht="15" hidden="false" customHeight="false" outlineLevel="0" collapsed="false">
      <c r="B7" s="9" t="s">
        <v>21</v>
      </c>
      <c r="C7" s="10" t="s">
        <v>22</v>
      </c>
      <c r="D7" s="10" t="n">
        <v>24.3</v>
      </c>
      <c r="E7" s="10" t="n">
        <v>29.6</v>
      </c>
      <c r="F7" s="10" t="n">
        <v>19.9</v>
      </c>
      <c r="G7" s="10" t="n">
        <v>596.4</v>
      </c>
      <c r="H7" s="10" t="n">
        <v>89</v>
      </c>
      <c r="I7" s="10" t="n">
        <v>2.6</v>
      </c>
      <c r="J7" s="10" t="n">
        <v>92</v>
      </c>
      <c r="K7" s="10" t="n">
        <v>23</v>
      </c>
      <c r="L7" s="10" t="s">
        <v>23</v>
      </c>
      <c r="M7" s="11" t="s">
        <v>24</v>
      </c>
    </row>
    <row r="8" customFormat="false" ht="15" hidden="false" customHeight="false" outlineLevel="0" collapsed="false">
      <c r="B8" s="12" t="s">
        <v>25</v>
      </c>
      <c r="C8" s="13" t="s">
        <v>26</v>
      </c>
      <c r="D8" s="13" t="n">
        <v>17.1</v>
      </c>
      <c r="E8" s="13" t="n">
        <v>24.1</v>
      </c>
      <c r="F8" s="13" t="n">
        <v>10.6</v>
      </c>
      <c r="G8" s="13" t="n">
        <v>57</v>
      </c>
      <c r="H8" s="13" t="n">
        <v>67</v>
      </c>
      <c r="I8" s="13" t="n">
        <v>1.6</v>
      </c>
      <c r="J8" s="13" t="n">
        <v>44</v>
      </c>
      <c r="K8" s="13" t="n">
        <v>6</v>
      </c>
      <c r="L8" s="13" t="s">
        <v>27</v>
      </c>
      <c r="M8" s="1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14"/>
  </cols>
  <sheetData>
    <row r="2" customFormat="false" ht="17.35" hidden="false" customHeight="false" outlineLevel="0" collapsed="false">
      <c r="B2" s="1" t="s">
        <v>29</v>
      </c>
    </row>
    <row r="4" customFormat="false" ht="30" hidden="false" customHeight="true" outlineLevel="0" collapsed="false">
      <c r="B4" s="2" t="s">
        <v>30</v>
      </c>
      <c r="C4" s="2" t="s">
        <v>3</v>
      </c>
      <c r="D4" s="2" t="s">
        <v>4</v>
      </c>
      <c r="E4" s="2" t="s">
        <v>5</v>
      </c>
      <c r="F4" s="2" t="s">
        <v>31</v>
      </c>
      <c r="G4" s="2" t="s">
        <v>32</v>
      </c>
      <c r="H4" s="2" t="s">
        <v>33</v>
      </c>
      <c r="I4" s="2" t="s">
        <v>9</v>
      </c>
      <c r="J4" s="2" t="s">
        <v>34</v>
      </c>
    </row>
    <row r="5" customFormat="false" ht="15" hidden="false" customHeight="false" outlineLevel="0" collapsed="false">
      <c r="B5" s="3" t="s">
        <v>35</v>
      </c>
      <c r="C5" s="4" t="n">
        <v>10.2</v>
      </c>
      <c r="D5" s="4" t="n">
        <v>18.4</v>
      </c>
      <c r="E5" s="4" t="n">
        <v>3.6</v>
      </c>
      <c r="F5" s="4" t="n">
        <v>17.5</v>
      </c>
      <c r="G5" s="4" t="n">
        <v>62</v>
      </c>
      <c r="H5" s="4" t="n">
        <v>1.2</v>
      </c>
      <c r="I5" s="4" t="n">
        <v>28</v>
      </c>
      <c r="J5" s="4" t="n">
        <v>3</v>
      </c>
    </row>
    <row r="6" customFormat="false" ht="15" hidden="false" customHeight="false" outlineLevel="0" collapsed="false">
      <c r="B6" s="3" t="s">
        <v>36</v>
      </c>
      <c r="C6" s="4" t="n">
        <v>12</v>
      </c>
      <c r="D6" s="4" t="n">
        <v>20.3</v>
      </c>
      <c r="E6" s="4" t="n">
        <v>5.5</v>
      </c>
      <c r="F6" s="4" t="n">
        <v>24.3</v>
      </c>
      <c r="G6" s="4" t="n">
        <v>60</v>
      </c>
      <c r="H6" s="4" t="n">
        <v>1.4</v>
      </c>
      <c r="I6" s="4" t="n">
        <v>31</v>
      </c>
      <c r="J6" s="4" t="n">
        <v>5</v>
      </c>
    </row>
    <row r="7" customFormat="false" ht="15" hidden="false" customHeight="false" outlineLevel="0" collapsed="false">
      <c r="B7" s="6" t="s">
        <v>37</v>
      </c>
      <c r="C7" s="7" t="n">
        <v>16.7</v>
      </c>
      <c r="D7" s="7" t="n">
        <v>25.1</v>
      </c>
      <c r="E7" s="7" t="n">
        <v>9.3</v>
      </c>
      <c r="F7" s="7" t="n">
        <v>51</v>
      </c>
      <c r="G7" s="7" t="n">
        <v>58</v>
      </c>
      <c r="H7" s="7" t="n">
        <v>1.9</v>
      </c>
      <c r="I7" s="7" t="n">
        <v>43</v>
      </c>
      <c r="J7" s="7" t="n">
        <v>8</v>
      </c>
    </row>
    <row r="8" customFormat="false" ht="15" hidden="false" customHeight="false" outlineLevel="0" collapsed="false">
      <c r="B8" s="6" t="s">
        <v>38</v>
      </c>
      <c r="C8" s="7" t="n">
        <v>20.2</v>
      </c>
      <c r="D8" s="7" t="n">
        <v>28.9</v>
      </c>
      <c r="E8" s="7" t="n">
        <v>13.1</v>
      </c>
      <c r="F8" s="7" t="n">
        <v>85.5</v>
      </c>
      <c r="G8" s="7" t="n">
        <v>66</v>
      </c>
      <c r="H8" s="7" t="n">
        <v>2.1</v>
      </c>
      <c r="I8" s="7" t="n">
        <v>56</v>
      </c>
      <c r="J8" s="7" t="n">
        <v>9</v>
      </c>
    </row>
    <row r="9" customFormat="false" ht="15" hidden="false" customHeight="false" outlineLevel="0" collapsed="false">
      <c r="B9" s="6" t="s">
        <v>39</v>
      </c>
      <c r="C9" s="7" t="n">
        <v>23</v>
      </c>
      <c r="D9" s="7" t="n">
        <v>31.4</v>
      </c>
      <c r="E9" s="7" t="n">
        <v>16.2</v>
      </c>
      <c r="F9" s="7" t="n">
        <v>162.8</v>
      </c>
      <c r="G9" s="7" t="n">
        <v>76</v>
      </c>
      <c r="H9" s="7" t="n">
        <v>2.4</v>
      </c>
      <c r="I9" s="7" t="n">
        <v>68</v>
      </c>
      <c r="J9" s="7" t="n">
        <v>13</v>
      </c>
    </row>
    <row r="10" customFormat="false" ht="15" hidden="false" customHeight="false" outlineLevel="0" collapsed="false">
      <c r="B10" s="9" t="s">
        <v>40</v>
      </c>
      <c r="C10" s="10" t="n">
        <v>24.4</v>
      </c>
      <c r="D10" s="10" t="n">
        <v>30.3</v>
      </c>
      <c r="E10" s="10" t="n">
        <v>19.7</v>
      </c>
      <c r="F10" s="10" t="n">
        <v>498.9</v>
      </c>
      <c r="G10" s="10" t="n">
        <v>88</v>
      </c>
      <c r="H10" s="10" t="n">
        <v>2.8</v>
      </c>
      <c r="I10" s="10" t="n">
        <v>92</v>
      </c>
      <c r="J10" s="10" t="n">
        <v>22</v>
      </c>
    </row>
    <row r="11" customFormat="false" ht="15" hidden="false" customHeight="false" outlineLevel="0" collapsed="false">
      <c r="B11" s="9" t="s">
        <v>41</v>
      </c>
      <c r="C11" s="10" t="n">
        <v>24.8</v>
      </c>
      <c r="D11" s="10" t="n">
        <v>29.7</v>
      </c>
      <c r="E11" s="10" t="n">
        <v>20.4</v>
      </c>
      <c r="F11" s="10" t="n">
        <v>797.5</v>
      </c>
      <c r="G11" s="10" t="n">
        <v>92</v>
      </c>
      <c r="H11" s="10" t="n">
        <v>2.6</v>
      </c>
      <c r="I11" s="10" t="n">
        <v>95</v>
      </c>
      <c r="J11" s="10" t="n">
        <v>26</v>
      </c>
    </row>
    <row r="12" customFormat="false" ht="15" hidden="false" customHeight="false" outlineLevel="0" collapsed="false">
      <c r="B12" s="9" t="s">
        <v>42</v>
      </c>
      <c r="C12" s="10" t="n">
        <v>24.6</v>
      </c>
      <c r="D12" s="10" t="n">
        <v>29.9</v>
      </c>
      <c r="E12" s="10" t="n">
        <v>20.1</v>
      </c>
      <c r="F12" s="10" t="n">
        <v>734.1</v>
      </c>
      <c r="G12" s="10" t="n">
        <v>91</v>
      </c>
      <c r="H12" s="10" t="n">
        <v>2.5</v>
      </c>
      <c r="I12" s="10" t="n">
        <v>94</v>
      </c>
      <c r="J12" s="10" t="n">
        <v>25</v>
      </c>
    </row>
    <row r="13" customFormat="false" ht="15" hidden="false" customHeight="false" outlineLevel="0" collapsed="false">
      <c r="B13" s="9" t="s">
        <v>43</v>
      </c>
      <c r="C13" s="10" t="n">
        <v>23.4</v>
      </c>
      <c r="D13" s="10" t="n">
        <v>28.7</v>
      </c>
      <c r="E13" s="10" t="n">
        <v>18.9</v>
      </c>
      <c r="F13" s="10" t="n">
        <v>429.4</v>
      </c>
      <c r="G13" s="10" t="n">
        <v>87</v>
      </c>
      <c r="H13" s="10" t="n">
        <v>2.2</v>
      </c>
      <c r="I13" s="10" t="n">
        <v>88</v>
      </c>
      <c r="J13" s="10" t="n">
        <v>20</v>
      </c>
    </row>
    <row r="14" customFormat="false" ht="15" hidden="false" customHeight="false" outlineLevel="0" collapsed="false">
      <c r="B14" s="12" t="s">
        <v>44</v>
      </c>
      <c r="C14" s="13" t="n">
        <v>19.8</v>
      </c>
      <c r="D14" s="13" t="n">
        <v>26.4</v>
      </c>
      <c r="E14" s="13" t="n">
        <v>13.7</v>
      </c>
      <c r="F14" s="13" t="n">
        <v>83.7</v>
      </c>
      <c r="G14" s="13" t="n">
        <v>72</v>
      </c>
      <c r="H14" s="13" t="n">
        <v>1.7</v>
      </c>
      <c r="I14" s="13" t="n">
        <v>55</v>
      </c>
      <c r="J14" s="13" t="n">
        <v>8</v>
      </c>
    </row>
    <row r="15" customFormat="false" ht="15" hidden="false" customHeight="false" outlineLevel="0" collapsed="false">
      <c r="B15" s="12" t="s">
        <v>45</v>
      </c>
      <c r="C15" s="13" t="n">
        <v>14.5</v>
      </c>
      <c r="D15" s="13" t="n">
        <v>22.1</v>
      </c>
      <c r="E15" s="13" t="n">
        <v>7.7</v>
      </c>
      <c r="F15" s="13" t="n">
        <v>20.6</v>
      </c>
      <c r="G15" s="13" t="n">
        <v>63</v>
      </c>
      <c r="H15" s="13" t="n">
        <v>1.4</v>
      </c>
      <c r="I15" s="13" t="n">
        <v>35</v>
      </c>
      <c r="J15" s="13" t="n">
        <v>4</v>
      </c>
    </row>
    <row r="16" customFormat="false" ht="15" hidden="false" customHeight="false" outlineLevel="0" collapsed="false">
      <c r="B16" s="3" t="s">
        <v>46</v>
      </c>
      <c r="C16" s="4" t="n">
        <v>10.8</v>
      </c>
      <c r="D16" s="4" t="n">
        <v>18.8</v>
      </c>
      <c r="E16" s="4" t="n">
        <v>4.1</v>
      </c>
      <c r="F16" s="4" t="n">
        <v>13</v>
      </c>
      <c r="G16" s="4" t="n">
        <v>60</v>
      </c>
      <c r="H16" s="4" t="n">
        <v>1.2</v>
      </c>
      <c r="I16" s="4" t="n">
        <v>27</v>
      </c>
      <c r="J16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8" min="7" style="0" width="22"/>
    <col collapsed="false" customWidth="true" hidden="false" outlineLevel="0" max="9" min="9" style="0" width="24"/>
    <col collapsed="false" customWidth="true" hidden="false" outlineLevel="0" max="10" min="10" style="0" width="40"/>
  </cols>
  <sheetData>
    <row r="2" customFormat="false" ht="17.35" hidden="false" customHeight="false" outlineLevel="0" collapsed="false">
      <c r="B2" s="1" t="s">
        <v>47</v>
      </c>
    </row>
    <row r="4" customFormat="false" ht="30" hidden="false" customHeight="true" outlineLevel="0" collapsed="false"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</row>
    <row r="5" customFormat="false" ht="15" hidden="false" customHeight="false" outlineLevel="0" collapsed="false">
      <c r="B5" s="15" t="n">
        <v>2010</v>
      </c>
      <c r="C5" s="15" t="n">
        <v>18</v>
      </c>
      <c r="D5" s="15" t="n">
        <f aca="false">C5-18.1</f>
        <v>-0.100000000000001</v>
      </c>
      <c r="E5" s="15" t="n">
        <v>2896.4</v>
      </c>
      <c r="F5" s="15" t="n">
        <f aca="false">E5-2682.4</f>
        <v>214</v>
      </c>
      <c r="G5" s="15" t="n">
        <v>2431.7</v>
      </c>
      <c r="H5" s="15" t="n">
        <f aca="false">G5-2442.1</f>
        <v>-10.4000000000001</v>
      </c>
      <c r="I5" s="15" t="n">
        <v>3</v>
      </c>
      <c r="J5" s="15" t="s">
        <v>57</v>
      </c>
    </row>
    <row r="6" customFormat="false" ht="15" hidden="false" customHeight="false" outlineLevel="0" collapsed="false">
      <c r="B6" s="15" t="n">
        <v>2011</v>
      </c>
      <c r="C6" s="15" t="n">
        <v>17.7</v>
      </c>
      <c r="D6" s="15" t="n">
        <f aca="false">C6-18.1</f>
        <v>-0.400000000000002</v>
      </c>
      <c r="E6" s="15" t="n">
        <v>2982.1</v>
      </c>
      <c r="F6" s="15" t="n">
        <f aca="false">E6-2682.4</f>
        <v>299.7</v>
      </c>
      <c r="G6" s="15" t="n">
        <v>2518.9</v>
      </c>
      <c r="H6" s="15" t="n">
        <f aca="false">G6-2442.1</f>
        <v>76.8000000000002</v>
      </c>
      <c r="I6" s="15" t="n">
        <v>2</v>
      </c>
      <c r="J6" s="15" t="s">
        <v>58</v>
      </c>
    </row>
    <row r="7" customFormat="false" ht="15" hidden="false" customHeight="false" outlineLevel="0" collapsed="false">
      <c r="B7" s="15" t="n">
        <v>2012</v>
      </c>
      <c r="C7" s="15" t="n">
        <v>18.3</v>
      </c>
      <c r="D7" s="15" t="n">
        <f aca="false">C7-18.1</f>
        <v>0.199999999999999</v>
      </c>
      <c r="E7" s="15" t="n">
        <v>2874.3</v>
      </c>
      <c r="F7" s="15" t="n">
        <f aca="false">E7-2682.4</f>
        <v>191.9</v>
      </c>
      <c r="G7" s="15" t="n">
        <v>2437.5</v>
      </c>
      <c r="H7" s="15" t="n">
        <f aca="false">G7-2442.1</f>
        <v>-4.59999999999991</v>
      </c>
      <c r="I7" s="15" t="n">
        <v>4</v>
      </c>
      <c r="J7" s="15" t="s">
        <v>59</v>
      </c>
    </row>
    <row r="8" customFormat="false" ht="15" hidden="false" customHeight="false" outlineLevel="0" collapsed="false">
      <c r="B8" s="15" t="n">
        <v>2013</v>
      </c>
      <c r="C8" s="15" t="n">
        <v>17.4</v>
      </c>
      <c r="D8" s="15" t="n">
        <f aca="false">C8-18.1</f>
        <v>-0.700000000000003</v>
      </c>
      <c r="E8" s="15" t="n">
        <v>2722.6</v>
      </c>
      <c r="F8" s="15" t="n">
        <f aca="false">E8-2682.4</f>
        <v>40.1999999999998</v>
      </c>
      <c r="G8" s="15" t="n">
        <v>2370.3</v>
      </c>
      <c r="H8" s="15" t="n">
        <f aca="false">G8-2442.1</f>
        <v>-71.7999999999997</v>
      </c>
      <c r="I8" s="15" t="n">
        <v>1</v>
      </c>
      <c r="J8" s="15" t="s">
        <v>60</v>
      </c>
    </row>
    <row r="9" customFormat="false" ht="15" hidden="false" customHeight="false" outlineLevel="0" collapsed="false">
      <c r="B9" s="15" t="n">
        <v>2014</v>
      </c>
      <c r="C9" s="15" t="n">
        <v>18.6</v>
      </c>
      <c r="D9" s="15" t="n">
        <f aca="false">C9-18.1</f>
        <v>0.5</v>
      </c>
      <c r="E9" s="15" t="n">
        <v>3046.5</v>
      </c>
      <c r="F9" s="15" t="n">
        <f aca="false">E9-2682.4</f>
        <v>364.1</v>
      </c>
      <c r="G9" s="15" t="n">
        <v>2575.3</v>
      </c>
      <c r="H9" s="15" t="n">
        <f aca="false">G9-2442.1</f>
        <v>133.2</v>
      </c>
      <c r="I9" s="15" t="n">
        <v>5</v>
      </c>
      <c r="J9" s="15" t="s">
        <v>61</v>
      </c>
    </row>
    <row r="10" customFormat="false" ht="15" hidden="false" customHeight="false" outlineLevel="0" collapsed="false">
      <c r="B10" s="15" t="n">
        <v>2015</v>
      </c>
      <c r="C10" s="15" t="n">
        <v>18</v>
      </c>
      <c r="D10" s="15" t="n">
        <f aca="false">C10-18.1</f>
        <v>-0.100000000000001</v>
      </c>
      <c r="E10" s="15" t="n">
        <v>2893.7</v>
      </c>
      <c r="F10" s="15" t="n">
        <f aca="false">E10-2682.4</f>
        <v>211.3</v>
      </c>
      <c r="G10" s="15" t="n">
        <v>2446</v>
      </c>
      <c r="H10" s="15" t="n">
        <f aca="false">G10-2442.1</f>
        <v>3.90000000000009</v>
      </c>
      <c r="I10" s="15" t="n">
        <v>3</v>
      </c>
      <c r="J10" s="15" t="s">
        <v>62</v>
      </c>
    </row>
    <row r="11" customFormat="false" ht="15" hidden="false" customHeight="false" outlineLevel="0" collapsed="false">
      <c r="B11" s="15" t="n">
        <v>2016</v>
      </c>
      <c r="C11" s="15" t="n">
        <v>18.2</v>
      </c>
      <c r="D11" s="15" t="n">
        <f aca="false">C11-18.1</f>
        <v>0.0999999999999979</v>
      </c>
      <c r="E11" s="15" t="n">
        <v>2907.1</v>
      </c>
      <c r="F11" s="15" t="n">
        <f aca="false">E11-2682.4</f>
        <v>224.7</v>
      </c>
      <c r="G11" s="15" t="n">
        <v>2455.7</v>
      </c>
      <c r="H11" s="15" t="n">
        <f aca="false">G11-2442.1</f>
        <v>13.5999999999999</v>
      </c>
      <c r="I11" s="15" t="n">
        <v>4</v>
      </c>
      <c r="J11" s="15" t="s">
        <v>63</v>
      </c>
    </row>
    <row r="12" customFormat="false" ht="15" hidden="false" customHeight="false" outlineLevel="0" collapsed="false">
      <c r="B12" s="15" t="n">
        <v>2017</v>
      </c>
      <c r="C12" s="15" t="n">
        <v>17.8</v>
      </c>
      <c r="D12" s="15" t="n">
        <f aca="false">C12-18.1</f>
        <v>-0.300000000000001</v>
      </c>
      <c r="E12" s="15" t="n">
        <v>2815.4</v>
      </c>
      <c r="F12" s="15" t="n">
        <f aca="false">E12-2682.4</f>
        <v>133</v>
      </c>
      <c r="G12" s="15" t="n">
        <v>2364</v>
      </c>
      <c r="H12" s="15" t="n">
        <f aca="false">G12-2442.1</f>
        <v>-78.0999999999999</v>
      </c>
      <c r="I12" s="15" t="n">
        <v>2</v>
      </c>
      <c r="J12" s="15" t="s">
        <v>64</v>
      </c>
    </row>
    <row r="13" customFormat="false" ht="15" hidden="false" customHeight="false" outlineLevel="0" collapsed="false">
      <c r="B13" s="15" t="n">
        <v>2018</v>
      </c>
      <c r="C13" s="15" t="n">
        <v>18.5</v>
      </c>
      <c r="D13" s="15" t="n">
        <f aca="false">C13-18.1</f>
        <v>0.399999999999999</v>
      </c>
      <c r="E13" s="15" t="n">
        <v>2994.7</v>
      </c>
      <c r="F13" s="15" t="n">
        <f aca="false">E13-2682.4</f>
        <v>312.3</v>
      </c>
      <c r="G13" s="15" t="n">
        <v>2566.9</v>
      </c>
      <c r="H13" s="15" t="n">
        <f aca="false">G13-2442.1</f>
        <v>124.8</v>
      </c>
      <c r="I13" s="15" t="n">
        <v>5</v>
      </c>
      <c r="J13" s="15" t="s">
        <v>65</v>
      </c>
    </row>
    <row r="14" customFormat="false" ht="15" hidden="false" customHeight="false" outlineLevel="0" collapsed="false">
      <c r="B14" s="15" t="n">
        <v>2019</v>
      </c>
      <c r="C14" s="15" t="n">
        <v>18.1</v>
      </c>
      <c r="D14" s="15" t="n">
        <f aca="false">C14-18.1</f>
        <v>0</v>
      </c>
      <c r="E14" s="15" t="n">
        <v>2882.5</v>
      </c>
      <c r="F14" s="15" t="n">
        <f aca="false">E14-2682.4</f>
        <v>200.1</v>
      </c>
      <c r="G14" s="15" t="n">
        <v>2419.2</v>
      </c>
      <c r="H14" s="15" t="n">
        <f aca="false">G14-2442.1</f>
        <v>-22.9000000000001</v>
      </c>
      <c r="I14" s="15" t="n">
        <v>3</v>
      </c>
      <c r="J14" s="15" t="s">
        <v>66</v>
      </c>
    </row>
    <row r="15" customFormat="false" ht="15" hidden="false" customHeight="false" outlineLevel="0" collapsed="false">
      <c r="B15" s="15" t="n">
        <v>2020</v>
      </c>
      <c r="C15" s="15" t="n">
        <v>18.2</v>
      </c>
      <c r="D15" s="15" t="n">
        <f aca="false">C15-18.1</f>
        <v>0.0999999999999979</v>
      </c>
      <c r="E15" s="15" t="n">
        <v>2919.8</v>
      </c>
      <c r="F15" s="15" t="n">
        <f aca="false">E15-2682.4</f>
        <v>237.4</v>
      </c>
      <c r="G15" s="15" t="n">
        <v>2472.3</v>
      </c>
      <c r="H15" s="15" t="n">
        <f aca="false">G15-2442.1</f>
        <v>30.2000000000003</v>
      </c>
      <c r="I15" s="15" t="n">
        <v>3</v>
      </c>
      <c r="J15" s="15" t="s">
        <v>67</v>
      </c>
    </row>
    <row r="16" customFormat="false" ht="15" hidden="false" customHeight="false" outlineLevel="0" collapsed="false">
      <c r="B16" s="15" t="n">
        <v>2021</v>
      </c>
      <c r="C16" s="15" t="n">
        <v>18.3</v>
      </c>
      <c r="D16" s="15" t="n">
        <f aca="false">C16-18.1</f>
        <v>0.199999999999999</v>
      </c>
      <c r="E16" s="15" t="n">
        <v>2946.2</v>
      </c>
      <c r="F16" s="15" t="n">
        <f aca="false">E16-2682.4</f>
        <v>263.8</v>
      </c>
      <c r="G16" s="15" t="n">
        <v>2471.8</v>
      </c>
      <c r="H16" s="15" t="n">
        <f aca="false">G16-2442.1</f>
        <v>29.7000000000003</v>
      </c>
      <c r="I16" s="15" t="n">
        <v>4</v>
      </c>
      <c r="J16" s="15" t="s">
        <v>68</v>
      </c>
    </row>
    <row r="17" customFormat="false" ht="15" hidden="false" customHeight="false" outlineLevel="0" collapsed="false">
      <c r="B17" s="15" t="n">
        <v>2022</v>
      </c>
      <c r="C17" s="15" t="n">
        <v>17.7</v>
      </c>
      <c r="D17" s="15" t="n">
        <f aca="false">C17-18.1</f>
        <v>-0.400000000000002</v>
      </c>
      <c r="E17" s="15" t="n">
        <v>2737.4</v>
      </c>
      <c r="F17" s="15" t="n">
        <f aca="false">E17-2682.4</f>
        <v>55</v>
      </c>
      <c r="G17" s="15" t="n">
        <v>2359.8</v>
      </c>
      <c r="H17" s="15" t="n">
        <f aca="false">G17-2442.1</f>
        <v>-82.2999999999997</v>
      </c>
      <c r="I17" s="15" t="n">
        <v>2</v>
      </c>
      <c r="J17" s="15" t="s">
        <v>69</v>
      </c>
    </row>
    <row r="18" customFormat="false" ht="15" hidden="false" customHeight="false" outlineLevel="0" collapsed="false">
      <c r="B18" s="15" t="n">
        <v>2023</v>
      </c>
      <c r="C18" s="15" t="n">
        <v>18.6</v>
      </c>
      <c r="D18" s="15" t="n">
        <f aca="false">C18-18.1</f>
        <v>0.5</v>
      </c>
      <c r="E18" s="15" t="n">
        <v>3068.9</v>
      </c>
      <c r="F18" s="15" t="n">
        <f aca="false">E18-2682.4</f>
        <v>386.5</v>
      </c>
      <c r="G18" s="15" t="n">
        <v>2609.4</v>
      </c>
      <c r="H18" s="15" t="n">
        <f aca="false">G18-2442.1</f>
        <v>167.3</v>
      </c>
      <c r="I18" s="15" t="n">
        <v>6</v>
      </c>
      <c r="J18" s="15" t="s">
        <v>70</v>
      </c>
    </row>
    <row r="19" customFormat="false" ht="15" hidden="false" customHeight="false" outlineLevel="0" collapsed="false">
      <c r="B19" s="15" t="n">
        <v>2024</v>
      </c>
      <c r="C19" s="15" t="n">
        <v>18.1</v>
      </c>
      <c r="D19" s="15" t="n">
        <f aca="false">C19-18.1</f>
        <v>0</v>
      </c>
      <c r="E19" s="15" t="n">
        <v>2893.6</v>
      </c>
      <c r="F19" s="15" t="n">
        <f aca="false">E19-2682.4</f>
        <v>211.2</v>
      </c>
      <c r="G19" s="15" t="n">
        <v>2435.6</v>
      </c>
      <c r="H19" s="15" t="n">
        <f aca="false">G19-2442.1</f>
        <v>-6.5</v>
      </c>
      <c r="I19" s="15" t="n">
        <v>3</v>
      </c>
      <c r="J19" s="15" t="s">
        <v>71</v>
      </c>
    </row>
    <row r="20" customFormat="false" ht="15" hidden="false" customHeight="false" outlineLevel="0" collapsed="false">
      <c r="B20" s="16" t="s">
        <v>72</v>
      </c>
      <c r="C20" s="17" t="n">
        <f aca="false">AVERAGE(C5:C19)</f>
        <v>18.1</v>
      </c>
      <c r="E20" s="17" t="n">
        <f aca="false">AVERAGE(E5:E19)</f>
        <v>2905.41333333333</v>
      </c>
      <c r="G20" s="17" t="n">
        <f aca="false">AVERAGE(G5:G19)</f>
        <v>2462.29333333333</v>
      </c>
      <c r="I20" s="17" t="n">
        <f aca="false">AVERAGE(I5:I19)</f>
        <v>3.33333333333333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2026-04-08T14:49:36Z</dcterms:created>
  <dc:creator>openpyxl</dc:creator>
  <dc:description/>
  <dc:language>en-US</dc:language>
  <cp:lastModifiedBy/>
  <dcterms:modified xsi:type="dcterms:W3CDTF">2026-04-08T14:49:36Z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